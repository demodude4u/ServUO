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 Manzella\Desktop\"/>
    </mc:Choice>
  </mc:AlternateContent>
  <xr:revisionPtr revIDLastSave="0" documentId="8_{8253245D-599F-4130-9F67-3E6119A3DA49}" xr6:coauthVersionLast="47" xr6:coauthVersionMax="47" xr10:uidLastSave="{00000000-0000-0000-0000-000000000000}"/>
  <bookViews>
    <workbookView xWindow="-28920" yWindow="-120" windowWidth="29040" windowHeight="15840" xr2:uid="{86B25306-8224-4ECD-BC03-472E95565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<sst xmlns="http://schemas.openxmlformats.org/spreadsheetml/2006/main" count="31" uniqueCount="31">
  <si>
    <t>Black Pearl</t>
  </si>
  <si>
    <t>Bloodmoss</t>
  </si>
  <si>
    <t>Garlic</t>
  </si>
  <si>
    <t>Ginseng</t>
  </si>
  <si>
    <t>Mandrake Root</t>
  </si>
  <si>
    <t>Nightshade</t>
  </si>
  <si>
    <t>Spiders Silk</t>
  </si>
  <si>
    <t>Sulfurous Ash</t>
  </si>
  <si>
    <t>Bottle</t>
  </si>
  <si>
    <t>Refresh</t>
  </si>
  <si>
    <t>Greater Refresh</t>
  </si>
  <si>
    <t>Lesser Heal</t>
  </si>
  <si>
    <t>Heal</t>
  </si>
  <si>
    <t>Greater Heal</t>
  </si>
  <si>
    <t>Cure</t>
  </si>
  <si>
    <t>Greater Cure</t>
  </si>
  <si>
    <t>Lesser Cure</t>
  </si>
  <si>
    <t>Agility</t>
  </si>
  <si>
    <t>Greater Agility</t>
  </si>
  <si>
    <t>Strength</t>
  </si>
  <si>
    <t>Greater Strength</t>
  </si>
  <si>
    <t>Lesser Poison</t>
  </si>
  <si>
    <t>Poison</t>
  </si>
  <si>
    <t>Greater Poison</t>
  </si>
  <si>
    <t>Deadly Poison</t>
  </si>
  <si>
    <t>Lesser Explosion</t>
  </si>
  <si>
    <t>Explosion</t>
  </si>
  <si>
    <t>Greater Explosion</t>
  </si>
  <si>
    <t>Cost Per Item:</t>
  </si>
  <si>
    <t>Night Sight</t>
  </si>
  <si>
    <t>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</si>
</sst>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E461-40AB-4052-A922-5EC2540FA391}">
  <dimension ref="A1:L22"/>
  <sheetViews>
    <sheetView tabSelected="1" workbookViewId="0">
      <selection activeCell="S35" sqref="S35"/>
    </sheetView>
  </sheetViews>
  <sheetFormatPr defaultRowHeight="15" x14ac:dyDescent="0.25"/>
  <cols>
    <col min="1" max="1" width="16.85546875" bestFit="1" customWidth="1"/>
    <col min="2" max="2" width="6.42578125" bestFit="1" customWidth="1"/>
    <col min="3" max="3" width="10.5703125" bestFit="1" customWidth="1"/>
    <col min="4" max="4" width="10.7109375" bestFit="1" customWidth="1"/>
    <col min="5" max="5" width="6" bestFit="1" customWidth="1"/>
    <col min="6" max="6" width="8.140625" bestFit="1" customWidth="1"/>
    <col min="7" max="7" width="14.5703125" bestFit="1" customWidth="1"/>
    <col min="8" max="9" width="11.140625" bestFit="1" customWidth="1"/>
    <col min="10" max="10" width="13.28515625" bestFit="1" customWidth="1"/>
  </cols>
  <sheetData>
    <row r="1" spans="1:12" x14ac:dyDescent="0.25">
      <c r="A1" t="s">
        <v>28</v>
      </c>
      <c r="B1">
        <v>5</v>
      </c>
      <c r="C1">
        <v>5</v>
      </c>
      <c r="D1">
        <v>5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L1" t="s">
        <v>30</v>
      </c>
    </row>
    <row r="2" spans="1:12" x14ac:dyDescent="0.25">
      <c r="B2" t="s">
        <v>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2" x14ac:dyDescent="0.25">
      <c r="A3" t="s">
        <v>9</v>
      </c>
      <c r="B3">
        <v>1</v>
      </c>
      <c r="C3">
        <v>1</v>
      </c>
      <c r="K3">
        <f>SUM(B$1*B3)+(C$1*C3)+(D$1*D3)+(E$1*E3)+(F$1*F3)+(G$1*G3)+(H$1*H3)+(I$1*I3)+(J$1*J3)</f>
        <v>10</v>
      </c>
      <c r="L3">
        <f>SUM(K3*1.5)</f>
        <v>15</v>
      </c>
    </row>
    <row r="4" spans="1:12" x14ac:dyDescent="0.25">
      <c r="A4" t="s">
        <v>10</v>
      </c>
      <c r="B4">
        <v>1</v>
      </c>
      <c r="C4">
        <v>5</v>
      </c>
      <c r="K4">
        <f>SUM(B$1*B4)+(C$1*C4)+(D$1*D4)+(E$1*E4)+(F$1*F4)+(G$1*G4)+(H$1*H4)+(I$1*I4)+(J$1*J4)</f>
        <v>30</v>
      </c>
      <c r="L4">
        <f>SUM(K4*1.5)</f>
        <v>45</v>
      </c>
    </row>
    <row r="5" spans="1:12" x14ac:dyDescent="0.25">
      <c r="A5" t="s">
        <v>11</v>
      </c>
      <c r="B5">
        <v>1</v>
      </c>
      <c r="F5">
        <v>1</v>
      </c>
      <c r="K5">
        <f>SUM(B$1*B5)+(C$1*C5)+(D$1*D5)+(E$1*E5)+(F$1*F5)+(G$1*G5)+(H$1*H5)+(I$1*I5)+(J$1*J5)</f>
        <v>8</v>
      </c>
      <c r="L5">
        <f>SUM(K5*1.5)</f>
        <v>12</v>
      </c>
    </row>
    <row r="6" spans="1:12" x14ac:dyDescent="0.25">
      <c r="A6" t="s">
        <v>12</v>
      </c>
      <c r="B6">
        <v>1</v>
      </c>
      <c r="F6">
        <v>3</v>
      </c>
      <c r="K6">
        <f>SUM(B$1*B6)+(C$1*C6)+(D$1*D6)+(E$1*E6)+(F$1*F6)+(G$1*G6)+(H$1*H6)+(I$1*I6)+(J$1*J6)</f>
        <v>14</v>
      </c>
      <c r="L6">
        <f>SUM(K6*1.5)</f>
        <v>21</v>
      </c>
    </row>
    <row r="7" spans="1:12" x14ac:dyDescent="0.25">
      <c r="A7" t="s">
        <v>13</v>
      </c>
      <c r="B7">
        <v>1</v>
      </c>
      <c r="F7">
        <v>7</v>
      </c>
      <c r="K7">
        <f>SUM(B$1*B7)+(C$1*C7)+(D$1*D7)+(E$1*E7)+(F$1*F7)+(G$1*G7)+(H$1*H7)+(I$1*I7)+(J$1*J7)</f>
        <v>26</v>
      </c>
      <c r="L7">
        <f>SUM(K7*1.5)</f>
        <v>39</v>
      </c>
    </row>
    <row r="8" spans="1:12" x14ac:dyDescent="0.25">
      <c r="A8" t="s">
        <v>16</v>
      </c>
      <c r="B8">
        <v>1</v>
      </c>
      <c r="E8">
        <v>1</v>
      </c>
      <c r="K8">
        <f>SUM(B$1*B8)+(C$1*C8)+(D$1*D8)+(E$1*E8)+(F$1*F8)+(G$1*G8)+(H$1*H8)+(I$1*I8)+(J$1*J8)</f>
        <v>8</v>
      </c>
      <c r="L8">
        <f>SUM(K8*1.5)</f>
        <v>12</v>
      </c>
    </row>
    <row r="9" spans="1:12" x14ac:dyDescent="0.25">
      <c r="A9" t="s">
        <v>14</v>
      </c>
      <c r="B9">
        <v>1</v>
      </c>
      <c r="E9">
        <v>3</v>
      </c>
      <c r="K9">
        <f>SUM(B$1*B9)+(C$1*C9)+(D$1*D9)+(E$1*E9)+(F$1*F9)+(G$1*G9)+(H$1*H9)+(I$1*I9)+(J$1*J9)</f>
        <v>14</v>
      </c>
      <c r="L9">
        <f>SUM(K9*1.5)</f>
        <v>21</v>
      </c>
    </row>
    <row r="10" spans="1:12" x14ac:dyDescent="0.25">
      <c r="A10" t="s">
        <v>15</v>
      </c>
      <c r="B10">
        <v>1</v>
      </c>
      <c r="E10">
        <v>6</v>
      </c>
      <c r="K10">
        <f>SUM(B$1*B10)+(C$1*C10)+(D$1*D10)+(E$1*E10)+(F$1*F10)+(G$1*G10)+(H$1*H10)+(I$1*I10)+(J$1*J10)</f>
        <v>23</v>
      </c>
      <c r="L10">
        <f>SUM(K10*1.5)</f>
        <v>34.5</v>
      </c>
    </row>
    <row r="11" spans="1:12" x14ac:dyDescent="0.25">
      <c r="A11" t="s">
        <v>17</v>
      </c>
      <c r="B11">
        <v>1</v>
      </c>
      <c r="D11">
        <v>1</v>
      </c>
      <c r="K11">
        <f>SUM(B$1*B11)+(C$1*C11)+(D$1*D11)+(E$1*E11)+(F$1*F11)+(G$1*G11)+(H$1*H11)+(I$1*I11)+(J$1*J11)</f>
        <v>10</v>
      </c>
      <c r="L11">
        <f>SUM(K11*1.5)</f>
        <v>15</v>
      </c>
    </row>
    <row r="12" spans="1:12" x14ac:dyDescent="0.25">
      <c r="A12" t="s">
        <v>18</v>
      </c>
      <c r="B12">
        <v>1</v>
      </c>
      <c r="D12">
        <v>3</v>
      </c>
      <c r="K12">
        <f>SUM(B$1*B12)+(C$1*C12)+(D$1*D12)+(E$1*E12)+(F$1*F12)+(G$1*G12)+(H$1*H12)+(I$1*I12)+(J$1*J12)</f>
        <v>20</v>
      </c>
      <c r="L12">
        <f>SUM(K12*1.5)</f>
        <v>30</v>
      </c>
    </row>
    <row r="13" spans="1:12" x14ac:dyDescent="0.25">
      <c r="A13" t="s">
        <v>19</v>
      </c>
      <c r="B13">
        <v>1</v>
      </c>
      <c r="G13">
        <v>2</v>
      </c>
      <c r="K13">
        <f>SUM(B$1*B13)+(C$1*C13)+(D$1*D13)+(E$1*E13)+(F$1*F13)+(G$1*G13)+(H$1*H13)+(I$1*I13)+(J$1*J13)</f>
        <v>11</v>
      </c>
      <c r="L13">
        <f>SUM(K13*1.5)</f>
        <v>16.5</v>
      </c>
    </row>
    <row r="14" spans="1:12" x14ac:dyDescent="0.25">
      <c r="A14" t="s">
        <v>20</v>
      </c>
      <c r="B14">
        <v>1</v>
      </c>
      <c r="G14">
        <v>5</v>
      </c>
      <c r="K14">
        <f>SUM(B$1*B14)+(C$1*C14)+(D$1*D14)+(E$1*E14)+(F$1*F14)+(G$1*G14)+(H$1*H14)+(I$1*I14)+(J$1*J14)</f>
        <v>20</v>
      </c>
      <c r="L14">
        <f>SUM(K14*1.5)</f>
        <v>30</v>
      </c>
    </row>
    <row r="15" spans="1:12" x14ac:dyDescent="0.25">
      <c r="A15" t="s">
        <v>21</v>
      </c>
      <c r="B15">
        <v>1</v>
      </c>
      <c r="H15">
        <v>1</v>
      </c>
      <c r="K15">
        <f>SUM(B$1*B15)+(C$1*C15)+(D$1*D15)+(E$1*E15)+(F$1*F15)+(G$1*G15)+(H$1*H15)+(I$1*I15)+(J$1*J15)</f>
        <v>8</v>
      </c>
      <c r="L15">
        <f>SUM(K15*1.5)</f>
        <v>12</v>
      </c>
    </row>
    <row r="16" spans="1:12" x14ac:dyDescent="0.25">
      <c r="A16" t="s">
        <v>22</v>
      </c>
      <c r="B16">
        <v>1</v>
      </c>
      <c r="H16">
        <v>2</v>
      </c>
      <c r="K16">
        <f>SUM(B$1*B16)+(C$1*C16)+(D$1*D16)+(E$1*E16)+(F$1*F16)+(G$1*G16)+(H$1*H16)+(I$1*I16)+(J$1*J16)</f>
        <v>11</v>
      </c>
      <c r="L16">
        <f>SUM(K16*1.5)</f>
        <v>16.5</v>
      </c>
    </row>
    <row r="17" spans="1:12" x14ac:dyDescent="0.25">
      <c r="A17" t="s">
        <v>23</v>
      </c>
      <c r="B17">
        <v>1</v>
      </c>
      <c r="H17">
        <v>4</v>
      </c>
      <c r="K17">
        <f>SUM(B$1*B17)+(C$1*C17)+(D$1*D17)+(E$1*E17)+(F$1*F17)+(G$1*G17)+(H$1*H17)+(I$1*I17)+(J$1*J17)</f>
        <v>17</v>
      </c>
      <c r="L17">
        <f>SUM(K17*1.5)</f>
        <v>25.5</v>
      </c>
    </row>
    <row r="18" spans="1:12" x14ac:dyDescent="0.25">
      <c r="A18" t="s">
        <v>24</v>
      </c>
      <c r="B18">
        <v>1</v>
      </c>
      <c r="H18">
        <v>8</v>
      </c>
      <c r="K18">
        <f>SUM(B$1*B18)+(C$1*C18)+(D$1*D18)+(E$1*E18)+(F$1*F18)+(G$1*G18)+(H$1*H18)+(I$1*I18)+(J$1*J18)</f>
        <v>29</v>
      </c>
      <c r="L18">
        <f>SUM(K18*1.5)</f>
        <v>43.5</v>
      </c>
    </row>
    <row r="19" spans="1:12" x14ac:dyDescent="0.25">
      <c r="A19" t="s">
        <v>25</v>
      </c>
      <c r="B19">
        <v>1</v>
      </c>
      <c r="J19">
        <v>3</v>
      </c>
      <c r="K19">
        <f>SUM(B$1*B19)+(C$1*C19)+(D$1*D19)+(E$1*E19)+(F$1*F19)+(G$1*G19)+(H$1*H19)+(I$1*I19)+(J$1*J19)</f>
        <v>14</v>
      </c>
      <c r="L19">
        <f>SUM(K19*1.5)</f>
        <v>21</v>
      </c>
    </row>
    <row r="20" spans="1:12" x14ac:dyDescent="0.25">
      <c r="A20" t="s">
        <v>26</v>
      </c>
      <c r="B20">
        <v>1</v>
      </c>
      <c r="J20">
        <v>5</v>
      </c>
      <c r="K20">
        <f>SUM(B$1*B20)+(C$1*C20)+(D$1*D20)+(E$1*E20)+(F$1*F20)+(G$1*G20)+(H$1*H20)+(I$1*I20)+(J$1*J20)</f>
        <v>20</v>
      </c>
      <c r="L20">
        <f>SUM(K20*1.5)</f>
        <v>30</v>
      </c>
    </row>
    <row r="21" spans="1:12" x14ac:dyDescent="0.25">
      <c r="A21" t="s">
        <v>27</v>
      </c>
      <c r="B21">
        <v>1</v>
      </c>
      <c r="J21">
        <v>10</v>
      </c>
      <c r="K21">
        <f>SUM(B$1*B21)+(C$1*C21)+(D$1*D21)+(E$1*E21)+(F$1*F21)+(G$1*G21)+(H$1*H21)+(I$1*I21)+(J$1*J21)</f>
        <v>35</v>
      </c>
      <c r="L21">
        <f>SUM(K21*1.5)</f>
        <v>52.5</v>
      </c>
    </row>
    <row r="22" spans="1:12" x14ac:dyDescent="0.25">
      <c r="A22" t="s">
        <v>29</v>
      </c>
      <c r="B22">
        <v>1</v>
      </c>
      <c r="I22">
        <v>1</v>
      </c>
      <c r="K22">
        <f>SUM(B$1*B22)+(C$1*C22)+(D$1*D22)+(E$1*E22)+(F$1*F22)+(G$1*G22)+(H$1*H22)+(I$1*I22)+(J$1*J22)</f>
        <v>8</v>
      </c>
      <c r="L22">
        <f>SUM(K22*1.5)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Manzella</dc:creator>
  <cp:lastModifiedBy>Paul Manzella</cp:lastModifiedBy>
  <dcterms:created xsi:type="dcterms:W3CDTF">2023-05-02T22:36:44Z</dcterms:created>
  <dcterms:modified xsi:type="dcterms:W3CDTF">2023-05-08T22:19:52Z</dcterms:modified>
</cp:coreProperties>
</file>